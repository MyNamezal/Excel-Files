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l\Desktop\Xcellons\Exercices\Fichier Pas a pas\Todo List\"/>
    </mc:Choice>
  </mc:AlternateContent>
  <xr:revisionPtr revIDLastSave="0" documentId="13_ncr:1_{1C028698-FE79-4511-A599-9B362D76E7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euil1" sheetId="3" r:id="rId1"/>
    <sheet name="Paramètres" sheetId="4" r:id="rId2"/>
  </sheets>
  <definedNames>
    <definedName name="jouraajouter">Paramètres!$A$1</definedName>
    <definedName name="Segment_Responsable">#N/A</definedName>
    <definedName name="Segment_Statut">#N/A</definedName>
    <definedName name="zone2click">Tableau2[Finalisé]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H5" i="3" s="1"/>
  <c r="I5" i="3" s="1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T4" i="3" s="1"/>
  <c r="F7" i="3"/>
  <c r="F12" i="3" l="1"/>
  <c r="F8" i="3"/>
  <c r="F11" i="3"/>
  <c r="F10" i="3"/>
  <c r="F9" i="3"/>
  <c r="N4" i="3"/>
  <c r="O4" i="3"/>
  <c r="Q4" i="3"/>
  <c r="J4" i="3"/>
  <c r="R4" i="3"/>
  <c r="M4" i="3"/>
  <c r="P4" i="3"/>
  <c r="K4" i="3"/>
  <c r="S4" i="3"/>
  <c r="H4" i="3"/>
  <c r="I4" i="3"/>
  <c r="L4" i="3"/>
  <c r="G4" i="3"/>
</calcChain>
</file>

<file path=xl/sharedStrings.xml><?xml version="1.0" encoding="utf-8"?>
<sst xmlns="http://schemas.openxmlformats.org/spreadsheetml/2006/main" count="36" uniqueCount="29">
  <si>
    <t>Taches</t>
  </si>
  <si>
    <t>Responsable</t>
  </si>
  <si>
    <t>Date de fin</t>
  </si>
  <si>
    <t>Finalisé</t>
  </si>
  <si>
    <t>Statut</t>
  </si>
  <si>
    <t>Saliou</t>
  </si>
  <si>
    <t>tache 1</t>
  </si>
  <si>
    <t>tache 2</t>
  </si>
  <si>
    <t>tache 3</t>
  </si>
  <si>
    <t>tache 4</t>
  </si>
  <si>
    <t>tache 5</t>
  </si>
  <si>
    <t>Idy</t>
  </si>
  <si>
    <t>Ben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</si>
  <si>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</si>
  <si>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</si>
  <si>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</si>
  <si>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</si>
  <si>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</si>
  <si>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</si>
  <si>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</si>
  <si>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</si>
  <si>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</si>
  <si>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</si>
  <si>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</si>
  <si>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</si>
  <si>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</si>
  <si>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</si>
  <si>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Il ne te reste plus qu'a t'abonner</t>
  </si>
  <si>
    <t>Toi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</si>
</sst>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 mmm"/>
    <numFmt numFmtId="165" formatCode="ddd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BCA9E"/>
        <bgColor indexed="64"/>
      </patternFill>
    </fill>
    <fill>
      <patternFill patternType="solid">
        <fgColor rgb="FFB6B476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3" borderId="1" xfId="0" applyFill="1" applyBorder="1"/>
    <xf numFmtId="0" fontId="0" fillId="3" borderId="2" xfId="0" applyFill="1" applyBorder="1"/>
    <xf numFmtId="165" fontId="1" fillId="2" borderId="2" xfId="0" applyNumberFormat="1" applyFont="1" applyFill="1" applyBorder="1"/>
    <xf numFmtId="165" fontId="1" fillId="2" borderId="3" xfId="0" applyNumberFormat="1" applyFont="1" applyFill="1" applyBorder="1"/>
    <xf numFmtId="0" fontId="1" fillId="3" borderId="4" xfId="0" applyFont="1" applyFill="1" applyBorder="1"/>
    <xf numFmtId="0" fontId="1" fillId="3" borderId="0" xfId="0" applyFont="1" applyFill="1"/>
    <xf numFmtId="164" fontId="1" fillId="3" borderId="0" xfId="0" applyNumberFormat="1" applyFont="1" applyFill="1"/>
    <xf numFmtId="164" fontId="1" fillId="3" borderId="5" xfId="0" applyNumberFormat="1" applyFont="1" applyFill="1" applyBorder="1"/>
  </cellXfs>
  <cellStyles count="1">
    <cellStyle name="Normal" xfId="0" builtinId="0"/>
  </cellStyles>
  <dxfs count="17">
    <dxf>
      <numFmt numFmtId="0" formatCode="General"/>
    </dxf>
    <dxf>
      <numFmt numFmtId="21" formatCode="dd\-mmm"/>
    </dxf>
    <dxf>
      <numFmt numFmtId="19" formatCode="dd/mm/yyyy"/>
    </dxf>
    <dxf>
      <fill>
        <patternFill>
          <bgColor theme="2" tint="-0.24994659260841701"/>
        </patternFill>
      </fill>
    </dxf>
    <dxf>
      <fill>
        <patternFill>
          <bgColor theme="5"/>
        </patternFill>
      </fill>
    </dxf>
    <dxf>
      <font>
        <strike val="0"/>
      </font>
      <fill>
        <patternFill>
          <bgColor theme="5" tint="0.39994506668294322"/>
        </patternFill>
      </fill>
    </dxf>
    <dxf>
      <font>
        <strike/>
      </font>
      <fill>
        <patternFill>
          <bgColor theme="9" tint="0.39994506668294322"/>
        </patternFill>
      </fill>
    </dxf>
    <dxf>
      <font>
        <strike val="0"/>
      </font>
      <fill>
        <patternFill>
          <bgColor theme="7" tint="0.79998168889431442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ck">
          <color theme="1"/>
        </left>
        <right style="thick">
          <color theme="1"/>
        </right>
        <top style="thin">
          <color theme="1"/>
        </top>
        <bottom style="thick">
          <color theme="1"/>
        </bottom>
        <vertical style="dashed">
          <color theme="1"/>
        </vertical>
        <horizontal style="dashed">
          <color theme="1"/>
        </horizontal>
      </border>
    </dxf>
  </dxfs>
  <tableStyles count="1" defaultTableStyle="TableStyleMedium2" defaultPivotStyle="PivotStyleLight16">
    <tableStyle name="TableStyleLight8 2" pivot="0" count="9" xr9:uid="{527CB0BD-60B9-458F-B42F-DFF081844872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secondRowStripe" dxfId="10"/>
      <tableStyleElement type="firstColumnStripe" dxfId="9"/>
      <tableStyleElement type="secondColumnStripe" dxfId="8"/>
    </tableStyle>
  </tableStyles>
  <colors>
    <mruColors>
      <color rgb="FF00A982"/>
      <color rgb="FFCBCA9E"/>
      <color rgb="FFB6B476"/>
      <color rgb="FFB5B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7620</xdr:rowOff>
    </xdr:from>
    <xdr:to>
      <xdr:col>19</xdr:col>
      <xdr:colOff>297180</xdr:colOff>
      <xdr:row>2</xdr:row>
      <xdr:rowOff>99060</xdr:rowOff>
    </xdr:to>
    <xdr:sp macro="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7514072A-8B45-EE79-A08D-24899E1CC97C}"/>
            </a:ext>
          </a:extLst>
        </xdr:cNvPr>
        <xdr:cNvSpPr/>
      </xdr:nvSpPr>
      <xdr:spPr>
        <a:xfrm>
          <a:off x="259080" y="7620"/>
          <a:ext cx="11513820" cy="16383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  <a:alpha val="69000"/>
              </a:schemeClr>
            </a:gs>
            <a:gs pos="100000">
              <a:schemeClr val="accent1">
                <a:lumMod val="30000"/>
                <a:lumOff val="70000"/>
                <a:alpha val="63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297180</xdr:colOff>
      <xdr:row>0</xdr:row>
      <xdr:rowOff>68581</xdr:rowOff>
    </xdr:from>
    <xdr:to>
      <xdr:col>5</xdr:col>
      <xdr:colOff>495300</xdr:colOff>
      <xdr:row>2</xdr:row>
      <xdr:rowOff>38101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Responsable">
              <a:extLst>
                <a:ext uri="{FF2B5EF4-FFF2-40B4-BE49-F238E27FC236}">
                  <a16:creationId xmlns:a16="http://schemas.microsoft.com/office/drawing/2014/main" id="{39E2EDED-23E7-A64F-4B99-E9D5E28E76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55620" y="68581"/>
              <a:ext cx="990600" cy="1516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15240</xdr:colOff>
      <xdr:row>0</xdr:row>
      <xdr:rowOff>937261</xdr:rowOff>
    </xdr:from>
    <xdr:to>
      <xdr:col>3</xdr:col>
      <xdr:colOff>739140</xdr:colOff>
      <xdr:row>2</xdr:row>
      <xdr:rowOff>45721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Statut">
              <a:extLst>
                <a:ext uri="{FF2B5EF4-FFF2-40B4-BE49-F238E27FC236}">
                  <a16:creationId xmlns:a16="http://schemas.microsoft.com/office/drawing/2014/main" id="{2D763D0C-6CF3-283A-FD9D-181FCD9B1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4320" y="937261"/>
              <a:ext cx="2415540" cy="655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>
    <xdr:from>
      <xdr:col>6</xdr:col>
      <xdr:colOff>30480</xdr:colOff>
      <xdr:row>0</xdr:row>
      <xdr:rowOff>1051560</xdr:rowOff>
    </xdr:from>
    <xdr:to>
      <xdr:col>7</xdr:col>
      <xdr:colOff>60960</xdr:colOff>
      <xdr:row>2</xdr:row>
      <xdr:rowOff>53340</xdr:rowOff>
    </xdr:to>
    <xdr:sp macro="[0]!Feuil1.Retraitjour" textlink="">
      <xdr:nvSpPr>
        <xdr:cNvPr id="16" name="Flèche : droite 15">
          <a:extLst>
            <a:ext uri="{FF2B5EF4-FFF2-40B4-BE49-F238E27FC236}">
              <a16:creationId xmlns:a16="http://schemas.microsoft.com/office/drawing/2014/main" id="{8288C96C-0EE0-4214-827B-2FFBA084D848}"/>
            </a:ext>
          </a:extLst>
        </xdr:cNvPr>
        <xdr:cNvSpPr/>
      </xdr:nvSpPr>
      <xdr:spPr>
        <a:xfrm rot="10800000">
          <a:off x="4373880" y="1051560"/>
          <a:ext cx="579120" cy="548640"/>
        </a:xfrm>
        <a:prstGeom prst="rightArrow">
          <a:avLst>
            <a:gd name="adj1" fmla="val 88889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91440</xdr:colOff>
      <xdr:row>0</xdr:row>
      <xdr:rowOff>1082040</xdr:rowOff>
    </xdr:from>
    <xdr:to>
      <xdr:col>8</xdr:col>
      <xdr:colOff>205740</xdr:colOff>
      <xdr:row>2</xdr:row>
      <xdr:rowOff>22860</xdr:rowOff>
    </xdr:to>
    <xdr:sp macro="[0]!Feuil1.reinit" textlink="">
      <xdr:nvSpPr>
        <xdr:cNvPr id="17" name="Rectangle 16">
          <a:extLst>
            <a:ext uri="{FF2B5EF4-FFF2-40B4-BE49-F238E27FC236}">
              <a16:creationId xmlns:a16="http://schemas.microsoft.com/office/drawing/2014/main" id="{1B1CA96F-A46F-C4B8-C2FC-E55C00B8318B}"/>
            </a:ext>
          </a:extLst>
        </xdr:cNvPr>
        <xdr:cNvSpPr/>
      </xdr:nvSpPr>
      <xdr:spPr>
        <a:xfrm>
          <a:off x="4983480" y="1082040"/>
          <a:ext cx="66294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137160</xdr:colOff>
      <xdr:row>0</xdr:row>
      <xdr:rowOff>15240</xdr:rowOff>
    </xdr:from>
    <xdr:to>
      <xdr:col>2</xdr:col>
      <xdr:colOff>0</xdr:colOff>
      <xdr:row>0</xdr:row>
      <xdr:rowOff>929640</xdr:rowOff>
    </xdr:to>
    <xdr:pic>
      <xdr:nvPicPr>
        <xdr:cNvPr id="19" name="Graphique 18" descr="Presse-papiers vérifié avec un remplissage uni">
          <a:extLst>
            <a:ext uri="{FF2B5EF4-FFF2-40B4-BE49-F238E27FC236}">
              <a16:creationId xmlns:a16="http://schemas.microsoft.com/office/drawing/2014/main" id="{152FB5AC-8794-99DA-C686-EC9985FE3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" y="15240"/>
          <a:ext cx="914400" cy="914400"/>
        </a:xfrm>
        <a:prstGeom prst="rect">
          <a:avLst/>
        </a:prstGeom>
      </xdr:spPr>
    </xdr:pic>
    <xdr:clientData/>
  </xdr:twoCellAnchor>
  <xdr:oneCellAnchor>
    <xdr:from>
      <xdr:col>1</xdr:col>
      <xdr:colOff>685800</xdr:colOff>
      <xdr:row>0</xdr:row>
      <xdr:rowOff>144780</xdr:rowOff>
    </xdr:from>
    <xdr:ext cx="1993046" cy="640240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4200C06C-0D36-FF6D-263E-9500A7A684D4}"/>
            </a:ext>
          </a:extLst>
        </xdr:cNvPr>
        <xdr:cNvSpPr txBox="1"/>
      </xdr:nvSpPr>
      <xdr:spPr>
        <a:xfrm>
          <a:off x="944880" y="144780"/>
          <a:ext cx="1993046" cy="640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3500"/>
            <a:t>TODO List</a:t>
          </a:r>
        </a:p>
      </xdr:txBody>
    </xdr:sp>
    <xdr:clientData/>
  </xdr:oneCellAnchor>
  <xdr:twoCellAnchor>
    <xdr:from>
      <xdr:col>8</xdr:col>
      <xdr:colOff>236220</xdr:colOff>
      <xdr:row>0</xdr:row>
      <xdr:rowOff>1051560</xdr:rowOff>
    </xdr:from>
    <xdr:to>
      <xdr:col>9</xdr:col>
      <xdr:colOff>266700</xdr:colOff>
      <xdr:row>2</xdr:row>
      <xdr:rowOff>53340</xdr:rowOff>
    </xdr:to>
    <xdr:sp macro="[0]!Feuil1.Retraitjour" textlink="">
      <xdr:nvSpPr>
        <xdr:cNvPr id="21" name="Flèche : droite 20">
          <a:extLst>
            <a:ext uri="{FF2B5EF4-FFF2-40B4-BE49-F238E27FC236}">
              <a16:creationId xmlns:a16="http://schemas.microsoft.com/office/drawing/2014/main" id="{03B28606-2186-4371-8579-55331D3C9E91}"/>
            </a:ext>
          </a:extLst>
        </xdr:cNvPr>
        <xdr:cNvSpPr/>
      </xdr:nvSpPr>
      <xdr:spPr>
        <a:xfrm>
          <a:off x="5676900" y="1051560"/>
          <a:ext cx="579120" cy="548640"/>
        </a:xfrm>
        <a:prstGeom prst="rightArrow">
          <a:avLst>
            <a:gd name="adj1" fmla="val 88889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11</xdr:col>
      <xdr:colOff>472440</xdr:colOff>
      <xdr:row>0</xdr:row>
      <xdr:rowOff>350520</xdr:rowOff>
    </xdr:from>
    <xdr:to>
      <xdr:col>13</xdr:col>
      <xdr:colOff>525780</xdr:colOff>
      <xdr:row>1</xdr:row>
      <xdr:rowOff>137160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E1F5635C-4E83-96ED-D692-72380A6B9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9040" y="350520"/>
          <a:ext cx="1150620" cy="1150620"/>
        </a:xfrm>
        <a:prstGeom prst="rect">
          <a:avLst/>
        </a:prstGeom>
      </xdr:spPr>
    </xdr:pic>
    <xdr:clientData/>
  </xdr:twoCellAnchor>
  <xdr:oneCellAnchor>
    <xdr:from>
      <xdr:col>13</xdr:col>
      <xdr:colOff>129540</xdr:colOff>
      <xdr:row>0</xdr:row>
      <xdr:rowOff>609600</xdr:rowOff>
    </xdr:from>
    <xdr:ext cx="2356992" cy="1031629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FD1F6F0D-27F7-39D5-2DAD-B41B7D02C41F}"/>
            </a:ext>
          </a:extLst>
        </xdr:cNvPr>
        <xdr:cNvSpPr txBox="1"/>
      </xdr:nvSpPr>
      <xdr:spPr>
        <a:xfrm>
          <a:off x="8313420" y="609600"/>
          <a:ext cx="2356992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6000">
              <a:solidFill>
                <a:srgbClr val="00A982"/>
              </a:solidFill>
            </a:rPr>
            <a:t>cellons</a:t>
          </a:r>
        </a:p>
      </xdr:txBody>
    </xdr:sp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onsable" xr10:uid="{797089F3-C58F-49C3-BEA8-F4D255E109BA}" sourceName="Responsabl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t" xr10:uid="{47F04CAB-BD07-4AB4-9820-18197EB536E6}" sourceName="Statut">
  <extLst>
    <x:ext xmlns:x15="http://schemas.microsoft.com/office/spreadsheetml/2010/11/main" uri="{2F2917AC-EB37-4324-AD4E-5DD8C200BD13}">
      <x15:tableSlicerCache tableId="2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onsable" xr10:uid="{3027C3C1-F159-4DC1-8F9E-F61D73870AD4}" cache="Segment_Responsable" caption="Responsable" rowHeight="234950"/>
  <slicer name="Statut" xr10:uid="{38F03F3B-6014-4EBF-8939-C060519D510E}" cache="Segment_Statut" caption="Statut" columnCount="3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230675-548B-416D-AD27-B68AA0A63578}" name="Tableau2" displayName="Tableau2" ref="B6:T12" totalsRowShown="0" headerRowDxfId="2">
  <autoFilter ref="B6:T12" xr:uid="{B1230675-548B-416D-AD27-B68AA0A63578}"/>
  <tableColumns count="19">
    <tableColumn id="1" xr3:uid="{A8E43052-7DD2-458F-9F04-D09C35AEEDCE}" name="Taches"/>
    <tableColumn id="2" xr3:uid="{1BAD6413-52FF-4BA2-BCBC-D3AA7A398949}" name="Responsable"/>
    <tableColumn id="3" xr3:uid="{1FEBA32A-89C4-4315-A01A-B55F3CA2CFD8}" name="Date de fin" dataDxfId="1"/>
    <tableColumn id="4" xr3:uid="{3138F522-F8E6-4084-BE48-30E79F37F46A}" name="Finalisé"/>
    <tableColumn id="5" xr3:uid="{E2346904-D381-4108-BA96-38644626D24D}" name="Statut" dataDxfId="0">
      <calculatedColumnFormula>IF(Tableau2[[#This Row],[Finalisé]]=1,"Finalisé",IF(Tableau2[[#This Row],[Date de fin]]&lt;$G$5,"En retard","En cours"))</calculatedColumnFormula>
    </tableColumn>
    <tableColumn id="6" xr3:uid="{EF368453-BC43-42B8-AB40-86530E37527F}" name="23/07/2023"/>
    <tableColumn id="7" xr3:uid="{1BBC2366-62F3-4005-80CA-965327C58468}" name="24/07/2023"/>
    <tableColumn id="8" xr3:uid="{A6FCCF0B-7E90-49A7-94DE-0C7479C1AD5A}" name="25/07/2023"/>
    <tableColumn id="9" xr3:uid="{BFFBA9AF-A79D-41B0-90F6-B9D45C7F876E}" name="26/07/2023"/>
    <tableColumn id="10" xr3:uid="{5C7D60CB-9AF9-4233-9256-1995FDD5FD27}" name="27/07/2023"/>
    <tableColumn id="11" xr3:uid="{B4BB8DB3-B530-4DAB-BF8D-D93C56A1302F}" name="28/07/2023"/>
    <tableColumn id="12" xr3:uid="{C05DC576-4AEE-46AE-AFA9-EA3B0056E915}" name="29/07/2023"/>
    <tableColumn id="13" xr3:uid="{69FFB544-981D-43C4-9BC7-DEE2F737AD00}" name="30/07/2023"/>
    <tableColumn id="14" xr3:uid="{AF6FAC10-762F-46B5-829A-1722183198DE}" name="31/07/2023"/>
    <tableColumn id="15" xr3:uid="{C46E5813-6B1A-45E9-AAFD-3F39923B704C}" name="01/08/2023"/>
    <tableColumn id="16" xr3:uid="{43C7CFE4-F1EA-4152-AEDF-DD5192C6B73A}" name="02/08/2023"/>
    <tableColumn id="17" xr3:uid="{85EFF077-1FE7-489F-BCC5-E4C6911C6597}" name="03/08/2023"/>
    <tableColumn id="18" xr3:uid="{5DA90D34-8B3C-4001-B3FD-96DD15CE85BF}" name="04/08/2023"/>
    <tableColumn id="19" xr3:uid="{6A8F1E2F-5962-46E7-A928-C8A768387B38}" name="05/08/2023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36A8-C7E9-4C0F-9F09-59B2093E1CF6}">
  <sheetPr codeName="Feuil1"/>
  <dimension ref="B1:T14"/>
  <sheetViews>
    <sheetView tabSelected="1" workbookViewId="0">
      <selection activeCell="H18" sqref="H18"/>
    </sheetView>
  </sheetViews>
  <sheetFormatPr baseColWidth="10" defaultRowHeight="14.4" x14ac:dyDescent="0.3"/>
  <cols>
    <col min="1" max="1" width="3.77734375" customWidth="1"/>
    <col min="3" max="3" width="13.109375" customWidth="1"/>
    <col min="4" max="4" width="11.77734375" customWidth="1"/>
    <col min="7" max="20" width="8" customWidth="1"/>
  </cols>
  <sheetData>
    <row r="1" spans="2:20" ht="107.4" customHeight="1" x14ac:dyDescent="0.3"/>
    <row r="3" spans="2:20" ht="15" thickBot="1" x14ac:dyDescent="0.35"/>
    <row r="4" spans="2:20" ht="15" thickTop="1" x14ac:dyDescent="0.3">
      <c r="B4" s="4"/>
      <c r="C4" s="5"/>
      <c r="D4" s="5"/>
      <c r="E4" s="5"/>
      <c r="F4" s="5"/>
      <c r="G4" s="6">
        <f ca="1">G5</f>
        <v>45339</v>
      </c>
      <c r="H4" s="6">
        <f t="shared" ref="H4:T4" ca="1" si="0">H5</f>
        <v>45340</v>
      </c>
      <c r="I4" s="6">
        <f t="shared" ca="1" si="0"/>
        <v>45341</v>
      </c>
      <c r="J4" s="6">
        <f t="shared" ca="1" si="0"/>
        <v>45342</v>
      </c>
      <c r="K4" s="6">
        <f t="shared" ca="1" si="0"/>
        <v>45343</v>
      </c>
      <c r="L4" s="6">
        <f t="shared" ca="1" si="0"/>
        <v>45344</v>
      </c>
      <c r="M4" s="6">
        <f t="shared" ca="1" si="0"/>
        <v>45345</v>
      </c>
      <c r="N4" s="6">
        <f t="shared" ca="1" si="0"/>
        <v>45346</v>
      </c>
      <c r="O4" s="6">
        <f t="shared" ca="1" si="0"/>
        <v>45347</v>
      </c>
      <c r="P4" s="6">
        <f t="shared" ca="1" si="0"/>
        <v>45348</v>
      </c>
      <c r="Q4" s="6">
        <f t="shared" ca="1" si="0"/>
        <v>45349</v>
      </c>
      <c r="R4" s="6">
        <f t="shared" ca="1" si="0"/>
        <v>45350</v>
      </c>
      <c r="S4" s="6">
        <f t="shared" ca="1" si="0"/>
        <v>45351</v>
      </c>
      <c r="T4" s="7">
        <f t="shared" ca="1" si="0"/>
        <v>45352</v>
      </c>
    </row>
    <row r="5" spans="2:20" x14ac:dyDescent="0.3">
      <c r="B5" s="8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10">
        <f ca="1">TODAY()+jouraajouter</f>
        <v>45339</v>
      </c>
      <c r="H5" s="10">
        <f ca="1">G5+1</f>
        <v>45340</v>
      </c>
      <c r="I5" s="10">
        <f t="shared" ref="I5:T5" ca="1" si="1">H5+1</f>
        <v>45341</v>
      </c>
      <c r="J5" s="10">
        <f t="shared" ca="1" si="1"/>
        <v>45342</v>
      </c>
      <c r="K5" s="10">
        <f t="shared" ca="1" si="1"/>
        <v>45343</v>
      </c>
      <c r="L5" s="10">
        <f t="shared" ca="1" si="1"/>
        <v>45344</v>
      </c>
      <c r="M5" s="10">
        <f t="shared" ca="1" si="1"/>
        <v>45345</v>
      </c>
      <c r="N5" s="10">
        <f t="shared" ca="1" si="1"/>
        <v>45346</v>
      </c>
      <c r="O5" s="10">
        <f t="shared" ca="1" si="1"/>
        <v>45347</v>
      </c>
      <c r="P5" s="10">
        <f t="shared" ca="1" si="1"/>
        <v>45348</v>
      </c>
      <c r="Q5" s="10">
        <f t="shared" ca="1" si="1"/>
        <v>45349</v>
      </c>
      <c r="R5" s="10">
        <f t="shared" ca="1" si="1"/>
        <v>45350</v>
      </c>
      <c r="S5" s="10">
        <f t="shared" ca="1" si="1"/>
        <v>45351</v>
      </c>
      <c r="T5" s="11">
        <f t="shared" ca="1" si="1"/>
        <v>45352</v>
      </c>
    </row>
    <row r="6" spans="2:20" hidden="1" x14ac:dyDescent="0.3">
      <c r="B6" t="s">
        <v>0</v>
      </c>
      <c r="C6" t="s">
        <v>1</v>
      </c>
      <c r="D6" t="s">
        <v>2</v>
      </c>
      <c r="E6" t="s">
        <v>3</v>
      </c>
      <c r="F6" t="s">
        <v>4</v>
      </c>
      <c r="G6" s="3" t="s">
        <v>13</v>
      </c>
      <c r="H6" s="3" t="s">
        <v>14</v>
      </c>
      <c r="I6" s="3" t="s">
        <v>15</v>
      </c>
      <c r="J6" s="3" t="s">
        <v>16</v>
      </c>
      <c r="K6" s="3" t="s">
        <v>17</v>
      </c>
      <c r="L6" s="3" t="s">
        <v>18</v>
      </c>
      <c r="M6" s="3" t="s">
        <v>19</v>
      </c>
      <c r="N6" s="3" t="s">
        <v>20</v>
      </c>
      <c r="O6" s="3" t="s">
        <v>21</v>
      </c>
      <c r="P6" s="3" t="s">
        <v>22</v>
      </c>
      <c r="Q6" s="3" t="s">
        <v>23</v>
      </c>
      <c r="R6" s="3" t="s">
        <v>24</v>
      </c>
      <c r="S6" s="3" t="s">
        <v>25</v>
      </c>
      <c r="T6" s="3" t="s">
        <v>26</v>
      </c>
    </row>
    <row r="7" spans="2:20" x14ac:dyDescent="0.3">
      <c r="B7" t="s">
        <v>6</v>
      </c>
      <c r="C7" t="s">
        <v>5</v>
      </c>
      <c r="D7" s="1">
        <v>45131</v>
      </c>
      <c r="E7">
        <v>1</v>
      </c>
      <c r="F7" t="str">
        <f>IF(Tableau2[[#This Row],[Finalisé]]=1,"Finalisé",IF(Tableau2[[#This Row],[Date de fin]]&lt;$G$5,"En retard","En cours"))</f>
        <v>Finalisé</v>
      </c>
    </row>
    <row r="8" spans="2:20" x14ac:dyDescent="0.3">
      <c r="B8" t="s">
        <v>7</v>
      </c>
      <c r="C8" t="s">
        <v>5</v>
      </c>
      <c r="D8" s="1">
        <v>45133</v>
      </c>
      <c r="F8" t="str">
        <f ca="1">IF(Tableau2[[#This Row],[Finalisé]]=1,"Finalisé",IF(Tableau2[[#This Row],[Date de fin]]&lt;$G$5,"En retard","En cours"))</f>
        <v>En retard</v>
      </c>
    </row>
    <row r="9" spans="2:20" x14ac:dyDescent="0.3">
      <c r="B9" t="s">
        <v>8</v>
      </c>
      <c r="C9" t="s">
        <v>11</v>
      </c>
      <c r="D9" s="1">
        <v>45093</v>
      </c>
      <c r="E9">
        <v>1</v>
      </c>
      <c r="F9" t="str">
        <f>IF(Tableau2[[#This Row],[Finalisé]]=1,"Finalisé",IF(Tableau2[[#This Row],[Date de fin]]&lt;$G$5,"En retard","En cours"))</f>
        <v>Finalisé</v>
      </c>
    </row>
    <row r="10" spans="2:20" x14ac:dyDescent="0.3">
      <c r="B10" t="s">
        <v>9</v>
      </c>
      <c r="C10" t="s">
        <v>11</v>
      </c>
      <c r="D10" s="1">
        <v>45153</v>
      </c>
      <c r="F10" t="str">
        <f ca="1">IF(Tableau2[[#This Row],[Finalisé]]=1,"Finalisé",IF(Tableau2[[#This Row],[Date de fin]]&lt;$G$5,"En retard","En cours"))</f>
        <v>En retard</v>
      </c>
    </row>
    <row r="11" spans="2:20" x14ac:dyDescent="0.3">
      <c r="B11" t="s">
        <v>10</v>
      </c>
      <c r="C11" t="s">
        <v>12</v>
      </c>
      <c r="F11" t="str">
        <f ca="1">IF(Tableau2[[#This Row],[Finalisé]]=1,"Finalisé",IF(Tableau2[[#This Row],[Date de fin]]&lt;$G$5,"En retard","En cours"))</f>
        <v>En retard</v>
      </c>
    </row>
    <row r="12" spans="2:20" x14ac:dyDescent="0.3">
      <c r="B12" t="s">
        <v>27</v>
      </c>
      <c r="C12" t="s">
        <v>28</v>
      </c>
      <c r="D12" s="1">
        <v>45134</v>
      </c>
      <c r="E12">
        <v>1</v>
      </c>
      <c r="F12" t="str">
        <f>IF(Tableau2[[#This Row],[Finalisé]]=1,"Finalisé",IF(Tableau2[[#This Row],[Date de fin]]&lt;$G$5,"En retard","En cours"))</f>
        <v>Finalisé</v>
      </c>
    </row>
    <row r="14" spans="2:20" x14ac:dyDescent="0.3"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</sheetData>
  <phoneticPr fontId="2" type="noConversion"/>
  <conditionalFormatting sqref="B7:F12">
    <cfRule type="expression" dxfId="7" priority="5">
      <formula>$F7="En cours"</formula>
    </cfRule>
    <cfRule type="expression" dxfId="6" priority="4">
      <formula>$F7="Finalisé"</formula>
    </cfRule>
    <cfRule type="expression" dxfId="5" priority="3">
      <formula>$F7="En retard"</formula>
    </cfRule>
  </conditionalFormatting>
  <conditionalFormatting sqref="G7:T12">
    <cfRule type="expression" dxfId="4" priority="2">
      <formula>$D7=G$5</formula>
    </cfRule>
    <cfRule type="expression" dxfId="3" priority="1">
      <formula>OR(MOD(G$5,7)=0,MOD(G$5,7)=1)</formula>
    </cfRule>
  </conditionalFormatting>
  <pageMargins left="0.7" right="0.7" top="0.75" bottom="0.75" header="0.3" footer="0.3"/>
  <pageSetup paperSize="9" orientation="portrait" r:id="rId1"/>
  <drawing r:id="rId2"/>
  <picture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671FE-B757-4581-BBFA-7130DFE89C2C}">
  <sheetPr codeName="Feuil2"/>
  <dimension ref="A1"/>
  <sheetViews>
    <sheetView workbookViewId="0">
      <selection activeCell="A2" sqref="A2"/>
    </sheetView>
  </sheetViews>
  <sheetFormatPr baseColWidth="10" defaultRowHeight="14.4" x14ac:dyDescent="0.3"/>
  <sheetData>
    <row r="1" spans="1:1" x14ac:dyDescent="0.3">
      <c r="A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Feuil1</vt:lpstr>
      <vt:lpstr>Paramètres</vt:lpstr>
      <vt:lpstr>jouraajouter</vt:lpstr>
      <vt:lpstr>zone2click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zal</dc:creator>
  <cp:lastModifiedBy>Xcellons .</cp:lastModifiedBy>
  <dcterms:created xsi:type="dcterms:W3CDTF">2015-06-05T18:19:34Z</dcterms:created>
  <dcterms:modified xsi:type="dcterms:W3CDTF">2024-02-17T00:08:12Z</dcterms:modified>
</cp:coreProperties>
</file>